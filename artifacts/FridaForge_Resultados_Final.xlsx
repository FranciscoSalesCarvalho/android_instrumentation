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Geral" sheetId="1" state="visible" r:id="rId3"/>
    <sheet name="Resultados por App" sheetId="2" state="visible" r:id="rId4"/>
    <sheet name="Comparação Ferramentas" sheetId="3" state="visible" r:id="rId5"/>
    <sheet name="Análise Qualitativa de Falhas" sheetId="4" state="visible" r:id="rId6"/>
    <sheet name="Metodologi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<sst xmlns="http://schemas.openxmlformats.org/spreadsheetml/2006/main" count="166" uniqueCount="136">
  <si>
    <t xml:space="preserve">FridaForge — Resultados Experimentais</t>
  </si>
  <si>
    <t xml:space="preserve">Fonte: artigo do Salão de Ferramentas SBSeg 2026 (FridaForge: Geração Automatizada de Scripts Frida com Contexto Dinâmico da Aplicação)</t>
  </si>
  <si>
    <t xml:space="preserve">Aplicações Vulneráveis (10 apps, N=5) — dataset do artigo SF</t>
  </si>
  <si>
    <t xml:space="preserve">Métrica</t>
  </si>
  <si>
    <t xml:space="preserve">Valor</t>
  </si>
  <si>
    <t xml:space="preserve">Aplicações</t>
  </si>
  <si>
    <t xml:space="preserve">Tarefas</t>
  </si>
  <si>
    <t xml:space="preserve">Consultas</t>
  </si>
  <si>
    <t xml:space="preserve">Execuções totais</t>
  </si>
  <si>
    <t xml:space="preserve">Sucessos totais</t>
  </si>
  <si>
    <t xml:space="preserve">Taxa de sucesso geral</t>
  </si>
  <si>
    <t xml:space="preserve">Nota: os números deste resumo referenciam a aba 'Resultados por App' via fórmulas — qualquer correção nessa aba propaga automaticamente aqui. Este artefato cobre exclusivamente o dataset de 10 aplicações relatado no artigo do Salão de Ferramentas (FridaForge: Geração Automatizada de Scripts Frida com Contexto Dinâmico da Aplicação). Resultados complementares (repositório Ghera, experimento de ablação) fazem parte de um artigo distinto (Trilha Principal / dissertação) e não são reivindicações deste artigo — por isso não constam neste artefato.</t>
  </si>
  <si>
    <t xml:space="preserve">Resultados Consolidados por Aplicação</t>
  </si>
  <si>
    <t xml:space="preserve">Fonte: Tabela 2 do artigo SF — dataset de 10 aplicações</t>
  </si>
  <si>
    <t xml:space="preserve">App</t>
  </si>
  <si>
    <t xml:space="preserve">Execuções</t>
  </si>
  <si>
    <t xml:space="preserve">Sucessos</t>
  </si>
  <si>
    <t xml:space="preserve">Taxa</t>
  </si>
  <si>
    <t xml:space="preserve">A1 — AndroGoat</t>
  </si>
  <si>
    <t xml:space="preserve">A2 — DIVA</t>
  </si>
  <si>
    <t xml:space="preserve">A3 — DodoVulnerableBank</t>
  </si>
  <si>
    <t xml:space="preserve">A4 — InsecureBankv2</t>
  </si>
  <si>
    <t xml:space="preserve">A5 — OVAA</t>
  </si>
  <si>
    <t xml:space="preserve">A6 — Finstergram</t>
  </si>
  <si>
    <t xml:space="preserve">A7 — MASTestApp-NETWORK</t>
  </si>
  <si>
    <t xml:space="preserve">A8 — BugBazaar</t>
  </si>
  <si>
    <t xml:space="preserve">A9 — VulnForum</t>
  </si>
  <si>
    <t xml:space="preserve">A10 — Damn Vulnerable Bank</t>
  </si>
  <si>
    <t xml:space="preserve">TOTAL</t>
  </si>
  <si>
    <t xml:space="preserve">Resultados por Tipo de Consulta</t>
  </si>
  <si>
    <t xml:space="preserve">Tipo de Consulta</t>
  </si>
  <si>
    <t xml:space="preserve">Específica</t>
  </si>
  <si>
    <t xml:space="preserve">Semi-específica</t>
  </si>
  <si>
    <t xml:space="preserve">Genérica</t>
  </si>
  <si>
    <t xml:space="preserve">Contexto Coletado por Aplicação</t>
  </si>
  <si>
    <t xml:space="preserve">Classes</t>
  </si>
  <si>
    <t xml:space="preserve">Bibliotecas</t>
  </si>
  <si>
    <t xml:space="preserve">Nativos</t>
  </si>
  <si>
    <t xml:space="preserve">Armazenamento</t>
  </si>
  <si>
    <t xml:space="preserve">SQLite, SharedPrefs</t>
  </si>
  <si>
    <t xml:space="preserve">SQLite</t>
  </si>
  <si>
    <t xml:space="preserve">SharedPrefs</t>
  </si>
  <si>
    <t xml:space="preserve">A7 — MASTestApp-NET.</t>
  </si>
  <si>
    <t xml:space="preserve">—</t>
  </si>
  <si>
    <t xml:space="preserve">SharedPrefs, Arquivo</t>
  </si>
  <si>
    <t xml:space="preserve">A10 — DVB</t>
  </si>
  <si>
    <t xml:space="preserve">Comparação — FridaForge vs Objection vs Frida CodeShare</t>
  </si>
  <si>
    <t xml:space="preserve">Fonte: Tabela 3 do artigo SF (Salão de Ferramentas)</t>
  </si>
  <si>
    <t xml:space="preserve">Critério</t>
  </si>
  <si>
    <t xml:space="preserve">FridaForge</t>
  </si>
  <si>
    <t xml:space="preserve">Objection</t>
  </si>
  <si>
    <t xml:space="preserve">Frida CodeShare</t>
  </si>
  <si>
    <t xml:space="preserve">Cobertura de tarefas</t>
  </si>
  <si>
    <t xml:space="preserve">83/83 (100%)</t>
  </si>
  <si>
    <t xml:space="preserve">3/83 (3,6%)</t>
  </si>
  <si>
    <t xml:space="preserve">0/83 (0%)</t>
  </si>
  <si>
    <t xml:space="preserve">Automação</t>
  </si>
  <si>
    <t xml:space="preserve">Linguagem natural</t>
  </si>
  <si>
    <t xml:space="preserve">Built-in</t>
  </si>
  <si>
    <t xml:space="preserve">Manual</t>
  </si>
  <si>
    <t xml:space="preserve">Contexto da aplicação</t>
  </si>
  <si>
    <t xml:space="preserve">Sim</t>
  </si>
  <si>
    <t xml:space="preserve">Não</t>
  </si>
  <si>
    <t xml:space="preserve">Requer expertise em Frida</t>
  </si>
  <si>
    <t xml:space="preserve">Parcial</t>
  </si>
  <si>
    <t xml:space="preserve">Nota: a cobertura de tarefas (proporção de tarefas para as quais a ferramenta produz ao menos um script funcional) é distinta da taxa de sucesso por execução de 95,7% reportada na avaliação principal — conforme esclarecido no próprio artigo.</t>
  </si>
  <si>
    <t xml:space="preserve">Análise Qualitativa Detalhada dos Modos de Falha</t>
  </si>
  <si>
    <t xml:space="preserve">Elaboração das 3 categorias de falha citadas no artigo SF, aplicada às mesmas 10 aplicações e ao mesmo resultado da Tabela 2 — DodoVulnerableBank (A3) e InsecureBankv2 (A4) concentram 19 das 20 falhas. Detalhamento tarefa-a-tarefa disponível na dissertação, referenciado aqui como documentação complementar do mesmo experimento.</t>
  </si>
  <si>
    <t xml:space="preserve">Taxonomia das 3 categorias de falha (visão geral)</t>
  </si>
  <si>
    <t xml:space="preserve">Categoria</t>
  </si>
  <si>
    <t xml:space="preserve">Descrição</t>
  </si>
  <si>
    <t xml:space="preserve">Nº aprox. de falhas</t>
  </si>
  <si>
    <t xml:space="preserve">Diagnosticável pela saída?</t>
  </si>
  <si>
    <t xml:space="preserve">1. Método genérico / API de alto volume</t>
  </si>
  <si>
    <t xml:space="preserve">Interceptações em métodos genéricos ou APIs de alto volume que sobrecarregam o ambiente ou não atingem o ponto correto de instrumentação</t>
  </si>
  <si>
    <t xml:space="preserve">Parcial (ex.: A4-T4)</t>
  </si>
  <si>
    <t xml:space="preserve">2. Incompatibilidade com biblioteca legada</t>
  </si>
  <si>
    <t xml:space="preserve">Bibliotecas legadas (ex.: Apache HttpClient) cujo padrão de manipulação de streams I/O difere das bibliotecas modernas, causando travamento</t>
  </si>
  <si>
    <t xml:space="preserve">A4-T5 (estrutural, não corrigível por prompt)</t>
  </si>
  <si>
    <t xml:space="preserve">3. Limitação na visibilidade do contexto</t>
  </si>
  <si>
    <t xml:space="preserve">Classes internas (ex.: geradas por AsyncTask) não enumeradas pelo coletor, ou seleção incorreta de overload em APIs de I/O</t>
  </si>
  <si>
    <t xml:space="preserve">A3-T5, A3-T6</t>
  </si>
  <si>
    <t xml:space="preserve">DodoVulnerableBank (A3) — Detalhamento por Tarefa</t>
  </si>
  <si>
    <t xml:space="preserve">Contexto coletado: 18 classes, armazenamento SQLite + SharedPreferences. 5 de 8 tarefas com 100% de sucesso, apoiadas diretamente nas classes do contexto (UserTable, Encryption, StreamToString.convert()).</t>
  </si>
  <si>
    <t xml:space="preserve">Tarefa</t>
  </si>
  <si>
    <t xml:space="preserve">Resultado</t>
  </si>
  <si>
    <t xml:space="preserve">Causa raiz</t>
  </si>
  <si>
    <t xml:space="preserve">Classe/método real vs. instrumentado</t>
  </si>
  <si>
    <t xml:space="preserve">A3-T5 — Monitoramento de transferências</t>
  </si>
  <si>
    <t xml:space="preserve">0/5 (falha total)</t>
  </si>
  <si>
    <t xml:space="preserve">Categoria 3 — classe interna não enumerada</t>
  </si>
  <si>
    <t xml:space="preserve">Real: DoTransfer$TransferTask.doInBackground() (AsyncTask). Scripts instrumentaram getters/setters de Transaction, TransferViewActivity.transfer() e TransactionTable.insert() — todos incorretos, confundindo fluxo de extrato com fluxo de transferência.</t>
  </si>
  <si>
    <t xml:space="preserve">A3-T6 — Escrita em armazenamento externo</t>
  </si>
  <si>
    <t xml:space="preserve">Categoria 3 — overload incorreto de I/O</t>
  </si>
  <si>
    <t xml:space="preserve">Real: writeToFile() usa OutputStreamWriter.write(String) para escrever JSON (IMEI + localização) em data.json. Scripts interceptaram FileOutputStream.write([B) / BufferedWriter.write(String) — nível de abstração errado; OutputStreamWriter converte String→bytes antes da escrita, então nenhum capturou o conteúdo do JSON. Instrumentar JSONObject.put()/toString() resolveria.</t>
  </si>
  <si>
    <t xml:space="preserve">A3-T7</t>
  </si>
  <si>
    <t xml:space="preserve">4/5</t>
  </si>
  <si>
    <t xml:space="preserve">Incerta — atribuída a incompatibilidade de runtime do Frida</t>
  </si>
  <si>
    <t xml:space="preserve">Falha de um único script; não caracterizada como erro conceitual de instrumentação.</t>
  </si>
  <si>
    <t xml:space="preserve">InsecureBankv2 (A4) — Detalhamento por Tarefa</t>
  </si>
  <si>
    <t xml:space="preserve">Contexto coletado: 27 classes + módulo nativo libmonochrome_64.so (WebView). 6 de 8 tarefas com 100% de sucesso (LoginActivity, DoLogin, TrackUserContentProvider, SharedPreferencesImpl, android.util.Log).</t>
  </si>
  <si>
    <t xml:space="preserve">A4-T4 — Interceptação de Intents implícitos</t>
  </si>
  <si>
    <t xml:space="preserve">2/5</t>
  </si>
  <si>
    <t xml:space="preserve">Categoria 1 — método genérico / alto volume</t>
  </si>
  <si>
    <t xml:space="preserve">Sem ponto único de interceptação óbvio (startActivity, sendBroadcast, bindService...); critério de 'implícito' exige checar getComponent() == null. 3 scripts falharam por não filtrar por esse critério (saturando a saída) ou por interceptar apenas startActivity.</t>
  </si>
  <si>
    <t xml:space="preserve">A4-T5 — Tráfego HTTP em texto claro (Apache HttpClient)</t>
  </si>
  <si>
    <t xml:space="preserve">0/5 (falha total) — CASO MAIS DIFÍCIL</t>
  </si>
  <si>
    <t xml:space="preserve">Categoria 2 — biblioteca legada, falha estrutural</t>
  </si>
  <si>
    <t xml:space="preserve">Apache HttpClient legado trava ao manipular seus streams de I/O. HttpEntity.getContent() e EntityUtils.toString() (que funcionam em libs modernas) travam nessa implementação obsoleta. Ajustes de prompt testados NÃO resolveram — único modo de falha não corrigível por prompt nem por refinamento iterativo trivial. Caso de estudo para trabalhos futuros (RAG).</t>
  </si>
  <si>
    <t xml:space="preserve">Nota de escopo: esta aba detalha exclusivamente as falhas do dataset de 10 aplicações reportado no artigo SF (Tabela 2). Achados do repositório Ghera e do experimento de ablação pertencem a um artigo distinto (Trilha Principal / dissertação) e não são reivindicações deste artigo.</t>
  </si>
  <si>
    <t xml:space="preserve">Metodologia Experimental (suporte ao SeloR)</t>
  </si>
  <si>
    <t xml:space="preserve">Detalhes técnicos necessários para reprodução das reivindicações do artigo</t>
  </si>
  <si>
    <t xml:space="preserve">Parâmetro</t>
  </si>
  <si>
    <t xml:space="preserve">Valor / Descrição</t>
  </si>
  <si>
    <t xml:space="preserve">Ambiente</t>
  </si>
  <si>
    <t xml:space="preserve">Emulador Android, API Level 36 (Android 16)</t>
  </si>
  <si>
    <t xml:space="preserve">Instrumentação</t>
  </si>
  <si>
    <t xml:space="preserve">Frida 17.4.1</t>
  </si>
  <si>
    <t xml:space="preserve">Modelo de geração</t>
  </si>
  <si>
    <t xml:space="preserve">Claude Sonnet 4 (claude-sonnet-4-20250514) via API Anthropic</t>
  </si>
  <si>
    <t xml:space="preserve">Host</t>
  </si>
  <si>
    <t xml:space="preserve">macOS</t>
  </si>
  <si>
    <t xml:space="preserve">Privilégios</t>
  </si>
  <si>
    <t xml:space="preserve">adb root (necessário para injeção de código via Frida)</t>
  </si>
  <si>
    <t xml:space="preserve">Repetições por consulta</t>
  </si>
  <si>
    <t xml:space="preserve">N = 5</t>
  </si>
  <si>
    <t xml:space="preserve">Reset entre execuções</t>
  </si>
  <si>
    <t xml:space="preserve">adb shell am force-stop &lt;pkg&gt; ; adb shell pm clear &lt;pkg&gt;</t>
  </si>
  <si>
    <t xml:space="preserve">Critério de sucesso</t>
  </si>
  <si>
    <t xml:space="preserve">Binário — script executou corretamente E atingiu o objetivo da tarefa</t>
  </si>
  <si>
    <t xml:space="preserve">Critério de falha</t>
  </si>
  <si>
    <t xml:space="preserve">Script não executou, falhou sintaticamente, ou resultado desalinhado da tarefa</t>
  </si>
  <si>
    <t xml:space="preserve">Dataset</t>
  </si>
  <si>
    <t xml:space="preserve">10 apps (9 do catálogo OWASP MASTG + 1 referência externa EXT-001), 83 tarefas, 92 consultas, 460 execuções — dataset relatado no artigo SF</t>
  </si>
  <si>
    <t xml:space="preserve">Limitação de custo conhecida</t>
  </si>
  <si>
    <t xml:space="preserve">Reprodução completa requer chamadas pagas à API Anthropic. Ver seção 'Minimal Reproduction' no README para verificação de baixo custo.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</si>
</sst>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 t="n">
        <v>10</v>
      </c>
    </row>
    <row r="7" customFormat="false" ht="15" hidden="false" customHeight="false" outlineLevel="0" collapsed="false">
      <c r="A7" s="5" t="s">
        <v>6</v>
      </c>
      <c r="B7" s="6" t="n">
        <v>83</v>
      </c>
    </row>
    <row r="8" customFormat="false" ht="15" hidden="false" customHeight="false" outlineLevel="0" collapsed="false">
      <c r="A8" s="5" t="s">
        <v>7</v>
      </c>
      <c r="B8" s="6" t="n">
        <v>92</v>
      </c>
    </row>
    <row r="9" customFormat="false" ht="15" hidden="false" customHeight="false" outlineLevel="0" collapsed="false">
      <c r="A9" s="5" t="s">
        <v>8</v>
      </c>
      <c r="B9" s="6" t="n">
        <f aca="false">SUM('Resultados por App'!C5:C14)</f>
        <v>460</v>
      </c>
    </row>
    <row r="10" customFormat="false" ht="15" hidden="false" customHeight="false" outlineLevel="0" collapsed="false">
      <c r="A10" s="5" t="s">
        <v>9</v>
      </c>
      <c r="B10" s="6" t="n">
        <f aca="false">SUM('Resultados por App'!D5:D14)</f>
        <v>440</v>
      </c>
    </row>
    <row r="11" customFormat="false" ht="15" hidden="false" customHeight="false" outlineLevel="0" collapsed="false">
      <c r="A11" s="5" t="s">
        <v>10</v>
      </c>
      <c r="B11" s="7" t="n">
        <f aca="false">B10/B9</f>
        <v>0.956521739130435</v>
      </c>
    </row>
    <row r="14" customFormat="false" ht="75" hidden="false" customHeight="true" outlineLevel="0" collapsed="false">
      <c r="A14" s="8" t="s">
        <v>11</v>
      </c>
      <c r="B14" s="8"/>
    </row>
  </sheetData>
  <mergeCells count="1"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13</v>
      </c>
    </row>
    <row r="4" customFormat="false" ht="15" hidden="false" customHeight="false" outlineLevel="0" collapsed="false">
      <c r="A4" s="4" t="s">
        <v>14</v>
      </c>
      <c r="B4" s="4" t="s">
        <v>6</v>
      </c>
      <c r="C4" s="4" t="s">
        <v>15</v>
      </c>
      <c r="D4" s="4" t="s">
        <v>16</v>
      </c>
      <c r="E4" s="4" t="s">
        <v>17</v>
      </c>
    </row>
    <row r="5" customFormat="false" ht="15" hidden="false" customHeight="false" outlineLevel="0" collapsed="false">
      <c r="A5" s="5" t="s">
        <v>18</v>
      </c>
      <c r="B5" s="6" t="n">
        <v>15</v>
      </c>
      <c r="C5" s="6" t="n">
        <v>100</v>
      </c>
      <c r="D5" s="6" t="n">
        <v>99</v>
      </c>
      <c r="E5" s="7" t="n">
        <f aca="false">D5/C5</f>
        <v>0.99</v>
      </c>
    </row>
    <row r="6" customFormat="false" ht="15" hidden="false" customHeight="false" outlineLevel="0" collapsed="false">
      <c r="A6" s="5" t="s">
        <v>19</v>
      </c>
      <c r="B6" s="6" t="n">
        <v>13</v>
      </c>
      <c r="C6" s="6" t="n">
        <v>85</v>
      </c>
      <c r="D6" s="6" t="n">
        <v>85</v>
      </c>
      <c r="E6" s="7" t="n">
        <f aca="false">D6/C6</f>
        <v>1</v>
      </c>
    </row>
    <row r="7" customFormat="false" ht="15" hidden="false" customHeight="false" outlineLevel="0" collapsed="false">
      <c r="A7" s="5" t="s">
        <v>20</v>
      </c>
      <c r="B7" s="6" t="n">
        <v>8</v>
      </c>
      <c r="C7" s="6" t="n">
        <v>40</v>
      </c>
      <c r="D7" s="6" t="n">
        <v>29</v>
      </c>
      <c r="E7" s="7" t="n">
        <f aca="false">D7/C7</f>
        <v>0.725</v>
      </c>
    </row>
    <row r="8" customFormat="false" ht="15" hidden="false" customHeight="false" outlineLevel="0" collapsed="false">
      <c r="A8" s="5" t="s">
        <v>21</v>
      </c>
      <c r="B8" s="6" t="n">
        <v>8</v>
      </c>
      <c r="C8" s="6" t="n">
        <v>40</v>
      </c>
      <c r="D8" s="6" t="n">
        <v>32</v>
      </c>
      <c r="E8" s="7" t="n">
        <f aca="false">D8/C8</f>
        <v>0.8</v>
      </c>
    </row>
    <row r="9" customFormat="false" ht="15" hidden="false" customHeight="false" outlineLevel="0" collapsed="false">
      <c r="A9" s="5" t="s">
        <v>22</v>
      </c>
      <c r="B9" s="6" t="n">
        <v>6</v>
      </c>
      <c r="C9" s="6" t="n">
        <v>30</v>
      </c>
      <c r="D9" s="6" t="n">
        <v>30</v>
      </c>
      <c r="E9" s="7" t="n">
        <f aca="false">D9/C9</f>
        <v>1</v>
      </c>
    </row>
    <row r="10" customFormat="false" ht="15" hidden="false" customHeight="false" outlineLevel="0" collapsed="false">
      <c r="A10" s="5" t="s">
        <v>23</v>
      </c>
      <c r="B10" s="6" t="n">
        <v>6</v>
      </c>
      <c r="C10" s="6" t="n">
        <v>30</v>
      </c>
      <c r="D10" s="6" t="n">
        <v>30</v>
      </c>
      <c r="E10" s="7" t="n">
        <f aca="false">D10/C10</f>
        <v>1</v>
      </c>
    </row>
    <row r="11" customFormat="false" ht="15" hidden="false" customHeight="false" outlineLevel="0" collapsed="false">
      <c r="A11" s="5" t="s">
        <v>24</v>
      </c>
      <c r="B11" s="6" t="n">
        <v>6</v>
      </c>
      <c r="C11" s="6" t="n">
        <v>30</v>
      </c>
      <c r="D11" s="6" t="n">
        <v>30</v>
      </c>
      <c r="E11" s="7" t="n">
        <f aca="false">D11/C11</f>
        <v>1</v>
      </c>
    </row>
    <row r="12" customFormat="false" ht="15" hidden="false" customHeight="false" outlineLevel="0" collapsed="false">
      <c r="A12" s="5" t="s">
        <v>25</v>
      </c>
      <c r="B12" s="6" t="n">
        <v>6</v>
      </c>
      <c r="C12" s="6" t="n">
        <v>30</v>
      </c>
      <c r="D12" s="6" t="n">
        <v>30</v>
      </c>
      <c r="E12" s="7" t="n">
        <f aca="false">D12/C12</f>
        <v>1</v>
      </c>
    </row>
    <row r="13" customFormat="false" ht="15" hidden="false" customHeight="false" outlineLevel="0" collapsed="false">
      <c r="A13" s="5" t="s">
        <v>26</v>
      </c>
      <c r="B13" s="6" t="n">
        <v>7</v>
      </c>
      <c r="C13" s="6" t="n">
        <v>35</v>
      </c>
      <c r="D13" s="6" t="n">
        <v>35</v>
      </c>
      <c r="E13" s="7" t="n">
        <f aca="false">D13/C13</f>
        <v>1</v>
      </c>
    </row>
    <row r="14" customFormat="false" ht="15" hidden="false" customHeight="false" outlineLevel="0" collapsed="false">
      <c r="A14" s="5" t="s">
        <v>27</v>
      </c>
      <c r="B14" s="6" t="n">
        <v>8</v>
      </c>
      <c r="C14" s="6" t="n">
        <v>40</v>
      </c>
      <c r="D14" s="6" t="n">
        <v>40</v>
      </c>
      <c r="E14" s="7" t="n">
        <f aca="false">D14/C14</f>
        <v>1</v>
      </c>
    </row>
    <row r="15" customFormat="false" ht="15" hidden="false" customHeight="false" outlineLevel="0" collapsed="false">
      <c r="A15" s="9" t="s">
        <v>28</v>
      </c>
      <c r="B15" s="10" t="n">
        <f aca="false">SUM(B5:B14)</f>
        <v>83</v>
      </c>
      <c r="C15" s="10" t="n">
        <f aca="false">SUM(C5:C14)</f>
        <v>460</v>
      </c>
      <c r="D15" s="10" t="n">
        <f aca="false">SUM(D5:D14)</f>
        <v>440</v>
      </c>
      <c r="E15" s="11" t="n">
        <f aca="false">D15/C15</f>
        <v>0.956521739130435</v>
      </c>
    </row>
    <row r="18" customFormat="false" ht="15" hidden="false" customHeight="false" outlineLevel="0" collapsed="false">
      <c r="A18" s="3" t="s">
        <v>29</v>
      </c>
    </row>
    <row r="19" customFormat="false" ht="15" hidden="false" customHeight="false" outlineLevel="0" collapsed="false">
      <c r="A19" s="4" t="s">
        <v>30</v>
      </c>
      <c r="B19" s="4" t="s">
        <v>15</v>
      </c>
      <c r="C19" s="4" t="s">
        <v>16</v>
      </c>
      <c r="D19" s="4" t="s">
        <v>17</v>
      </c>
    </row>
    <row r="20" customFormat="false" ht="15" hidden="false" customHeight="false" outlineLevel="0" collapsed="false">
      <c r="A20" s="5" t="s">
        <v>31</v>
      </c>
      <c r="B20" s="6" t="n">
        <v>25</v>
      </c>
      <c r="C20" s="6" t="n">
        <v>25</v>
      </c>
      <c r="D20" s="7" t="n">
        <f aca="false">C20/B20</f>
        <v>1</v>
      </c>
    </row>
    <row r="21" customFormat="false" ht="15" hidden="false" customHeight="false" outlineLevel="0" collapsed="false">
      <c r="A21" s="5" t="s">
        <v>32</v>
      </c>
      <c r="B21" s="6" t="n">
        <v>40</v>
      </c>
      <c r="C21" s="6" t="n">
        <v>40</v>
      </c>
      <c r="D21" s="7" t="n">
        <f aca="false">C21/B21</f>
        <v>1</v>
      </c>
    </row>
    <row r="22" customFormat="false" ht="15" hidden="false" customHeight="false" outlineLevel="0" collapsed="false">
      <c r="A22" s="5" t="s">
        <v>33</v>
      </c>
      <c r="B22" s="6" t="n">
        <v>395</v>
      </c>
      <c r="C22" s="6" t="n">
        <v>375</v>
      </c>
      <c r="D22" s="7" t="n">
        <f aca="false">C22/B22</f>
        <v>0.949367088607595</v>
      </c>
    </row>
    <row r="23" customFormat="false" ht="15" hidden="false" customHeight="false" outlineLevel="0" collapsed="false">
      <c r="A23" s="9" t="s">
        <v>28</v>
      </c>
      <c r="B23" s="10" t="n">
        <f aca="false">SUM(B20:B22)</f>
        <v>460</v>
      </c>
      <c r="C23" s="10" t="n">
        <f aca="false">SUM(C20:C22)</f>
        <v>440</v>
      </c>
      <c r="D23" s="11" t="n">
        <f aca="false">C23/B23</f>
        <v>0.956521739130435</v>
      </c>
    </row>
    <row r="26" customFormat="false" ht="15" hidden="false" customHeight="false" outlineLevel="0" collapsed="false">
      <c r="A26" s="3" t="s">
        <v>34</v>
      </c>
    </row>
    <row r="27" customFormat="false" ht="15" hidden="false" customHeight="false" outlineLevel="0" collapsed="false">
      <c r="A27" s="4" t="s">
        <v>14</v>
      </c>
      <c r="B27" s="4" t="s">
        <v>35</v>
      </c>
      <c r="C27" s="4" t="s">
        <v>36</v>
      </c>
      <c r="D27" s="4" t="s">
        <v>37</v>
      </c>
      <c r="E27" s="4" t="s">
        <v>38</v>
      </c>
    </row>
    <row r="28" customFormat="false" ht="15" hidden="false" customHeight="false" outlineLevel="0" collapsed="false">
      <c r="A28" s="5" t="s">
        <v>18</v>
      </c>
      <c r="B28" s="6" t="n">
        <v>22</v>
      </c>
      <c r="C28" s="6" t="n">
        <v>1</v>
      </c>
      <c r="D28" s="6" t="n">
        <v>0</v>
      </c>
      <c r="E28" s="6" t="s">
        <v>39</v>
      </c>
    </row>
    <row r="29" customFormat="false" ht="15" hidden="false" customHeight="false" outlineLevel="0" collapsed="false">
      <c r="A29" s="5" t="s">
        <v>19</v>
      </c>
      <c r="B29" s="6" t="n">
        <v>16</v>
      </c>
      <c r="C29" s="6" t="n">
        <v>0</v>
      </c>
      <c r="D29" s="6" t="n">
        <v>1</v>
      </c>
      <c r="E29" s="6" t="s">
        <v>40</v>
      </c>
    </row>
    <row r="30" customFormat="false" ht="15" hidden="false" customHeight="false" outlineLevel="0" collapsed="false">
      <c r="A30" s="5" t="s">
        <v>20</v>
      </c>
      <c r="B30" s="6" t="n">
        <v>18</v>
      </c>
      <c r="C30" s="6" t="n">
        <v>0</v>
      </c>
      <c r="D30" s="6" t="n">
        <v>0</v>
      </c>
      <c r="E30" s="6" t="s">
        <v>39</v>
      </c>
    </row>
    <row r="31" customFormat="false" ht="15" hidden="false" customHeight="false" outlineLevel="0" collapsed="false">
      <c r="A31" s="5" t="s">
        <v>21</v>
      </c>
      <c r="B31" s="6" t="n">
        <v>27</v>
      </c>
      <c r="C31" s="6" t="n">
        <v>0</v>
      </c>
      <c r="D31" s="6" t="n">
        <v>0</v>
      </c>
      <c r="E31" s="6" t="s">
        <v>39</v>
      </c>
    </row>
    <row r="32" customFormat="false" ht="15" hidden="false" customHeight="false" outlineLevel="0" collapsed="false">
      <c r="A32" s="5" t="s">
        <v>22</v>
      </c>
      <c r="B32" s="6" t="n">
        <v>21</v>
      </c>
      <c r="C32" s="6" t="n">
        <v>3</v>
      </c>
      <c r="D32" s="6" t="n">
        <v>0</v>
      </c>
      <c r="E32" s="6" t="s">
        <v>41</v>
      </c>
    </row>
    <row r="33" customFormat="false" ht="15" hidden="false" customHeight="false" outlineLevel="0" collapsed="false">
      <c r="A33" s="5" t="s">
        <v>23</v>
      </c>
      <c r="B33" s="6" t="n">
        <v>34</v>
      </c>
      <c r="C33" s="6" t="n">
        <v>0</v>
      </c>
      <c r="D33" s="6" t="n">
        <v>0</v>
      </c>
      <c r="E33" s="6" t="s">
        <v>39</v>
      </c>
    </row>
    <row r="34" customFormat="false" ht="15" hidden="false" customHeight="false" outlineLevel="0" collapsed="false">
      <c r="A34" s="5" t="s">
        <v>42</v>
      </c>
      <c r="B34" s="6" t="n">
        <v>12</v>
      </c>
      <c r="C34" s="6" t="n">
        <v>1</v>
      </c>
      <c r="D34" s="6" t="n">
        <v>0</v>
      </c>
      <c r="E34" s="6" t="s">
        <v>43</v>
      </c>
    </row>
    <row r="35" customFormat="false" ht="15" hidden="false" customHeight="false" outlineLevel="0" collapsed="false">
      <c r="A35" s="5" t="s">
        <v>25</v>
      </c>
      <c r="B35" s="6" t="n">
        <v>45</v>
      </c>
      <c r="C35" s="6" t="n">
        <v>5</v>
      </c>
      <c r="D35" s="6" t="n">
        <v>0</v>
      </c>
      <c r="E35" s="6" t="s">
        <v>39</v>
      </c>
    </row>
    <row r="36" customFormat="false" ht="15" hidden="false" customHeight="false" outlineLevel="0" collapsed="false">
      <c r="A36" s="5" t="s">
        <v>26</v>
      </c>
      <c r="B36" s="6" t="n">
        <v>198</v>
      </c>
      <c r="C36" s="6" t="n">
        <v>3</v>
      </c>
      <c r="D36" s="6" t="n">
        <v>0</v>
      </c>
      <c r="E36" s="6" t="s">
        <v>44</v>
      </c>
    </row>
    <row r="37" customFormat="false" ht="15" hidden="false" customHeight="false" outlineLevel="0" collapsed="false">
      <c r="A37" s="5" t="s">
        <v>45</v>
      </c>
      <c r="B37" s="6" t="n">
        <v>24</v>
      </c>
      <c r="C37" s="6" t="n">
        <v>0</v>
      </c>
      <c r="D37" s="6" t="n">
        <v>2</v>
      </c>
      <c r="E37" s="6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4" t="s">
        <v>48</v>
      </c>
      <c r="B4" s="4" t="s">
        <v>49</v>
      </c>
      <c r="C4" s="4" t="s">
        <v>50</v>
      </c>
      <c r="D4" s="4" t="s">
        <v>51</v>
      </c>
    </row>
    <row r="5" customFormat="false" ht="15" hidden="false" customHeight="false" outlineLevel="0" collapsed="false">
      <c r="A5" s="5" t="s">
        <v>52</v>
      </c>
      <c r="B5" s="6" t="s">
        <v>53</v>
      </c>
      <c r="C5" s="6" t="s">
        <v>54</v>
      </c>
      <c r="D5" s="6" t="s">
        <v>55</v>
      </c>
    </row>
    <row r="6" customFormat="false" ht="15" hidden="false" customHeight="false" outlineLevel="0" collapsed="false">
      <c r="A6" s="5" t="s">
        <v>56</v>
      </c>
      <c r="B6" s="6" t="s">
        <v>57</v>
      </c>
      <c r="C6" s="6" t="s">
        <v>58</v>
      </c>
      <c r="D6" s="6" t="s">
        <v>59</v>
      </c>
    </row>
    <row r="7" customFormat="false" ht="15" hidden="false" customHeight="false" outlineLevel="0" collapsed="false">
      <c r="A7" s="5" t="s">
        <v>60</v>
      </c>
      <c r="B7" s="6" t="s">
        <v>61</v>
      </c>
      <c r="C7" s="6" t="s">
        <v>62</v>
      </c>
      <c r="D7" s="6" t="s">
        <v>62</v>
      </c>
    </row>
    <row r="8" customFormat="false" ht="15" hidden="false" customHeight="false" outlineLevel="0" collapsed="false">
      <c r="A8" s="5" t="s">
        <v>63</v>
      </c>
      <c r="B8" s="6" t="s">
        <v>62</v>
      </c>
      <c r="C8" s="6" t="s">
        <v>64</v>
      </c>
      <c r="D8" s="6" t="s">
        <v>61</v>
      </c>
    </row>
    <row r="11" customFormat="false" ht="45" hidden="false" customHeight="true" outlineLevel="0" collapsed="false">
      <c r="A11" s="8" t="s">
        <v>65</v>
      </c>
      <c r="B11" s="8"/>
      <c r="C11" s="8"/>
      <c r="D11" s="8"/>
    </row>
  </sheetData>
  <mergeCells count="1"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4" customFormat="false" ht="15" hidden="false" customHeight="false" outlineLevel="0" collapsed="false">
      <c r="A4" s="3" t="s">
        <v>68</v>
      </c>
    </row>
    <row r="5" customFormat="false" ht="15" hidden="false" customHeight="false" outlineLevel="0" collapsed="false">
      <c r="A5" s="4" t="s">
        <v>69</v>
      </c>
      <c r="B5" s="4" t="s">
        <v>70</v>
      </c>
      <c r="C5" s="4" t="s">
        <v>71</v>
      </c>
      <c r="D5" s="4" t="s">
        <v>72</v>
      </c>
    </row>
    <row r="6" customFormat="false" ht="45" hidden="false" customHeight="true" outlineLevel="0" collapsed="false">
      <c r="A6" s="5" t="s">
        <v>73</v>
      </c>
      <c r="B6" s="6" t="s">
        <v>74</v>
      </c>
      <c r="C6" s="6" t="s">
        <v>75</v>
      </c>
      <c r="D6" s="6" t="s">
        <v>61</v>
      </c>
    </row>
    <row r="7" customFormat="false" ht="45" hidden="false" customHeight="true" outlineLevel="0" collapsed="false">
      <c r="A7" s="5" t="s">
        <v>76</v>
      </c>
      <c r="B7" s="6" t="s">
        <v>77</v>
      </c>
      <c r="C7" s="6" t="s">
        <v>78</v>
      </c>
      <c r="D7" s="6" t="s">
        <v>61</v>
      </c>
    </row>
    <row r="8" customFormat="false" ht="45" hidden="false" customHeight="true" outlineLevel="0" collapsed="false">
      <c r="A8" s="5" t="s">
        <v>79</v>
      </c>
      <c r="B8" s="6" t="s">
        <v>80</v>
      </c>
      <c r="C8" s="6" t="s">
        <v>81</v>
      </c>
      <c r="D8" s="6" t="s">
        <v>61</v>
      </c>
    </row>
    <row r="11" customFormat="false" ht="15" hidden="false" customHeight="false" outlineLevel="0" collapsed="false">
      <c r="A11" s="3" t="s">
        <v>82</v>
      </c>
    </row>
    <row r="12" customFormat="false" ht="27.75" hidden="false" customHeight="true" outlineLevel="0" collapsed="false">
      <c r="A12" s="8" t="s">
        <v>83</v>
      </c>
      <c r="B12" s="8"/>
      <c r="C12" s="8"/>
      <c r="D12" s="8"/>
    </row>
    <row r="13" customFormat="false" ht="15" hidden="false" customHeight="false" outlineLevel="0" collapsed="false">
      <c r="A13" s="4" t="s">
        <v>84</v>
      </c>
      <c r="B13" s="4" t="s">
        <v>85</v>
      </c>
      <c r="C13" s="4" t="s">
        <v>86</v>
      </c>
      <c r="D13" s="4" t="s">
        <v>87</v>
      </c>
    </row>
    <row r="14" customFormat="false" ht="69.75" hidden="false" customHeight="true" outlineLevel="0" collapsed="false">
      <c r="A14" s="5" t="s">
        <v>88</v>
      </c>
      <c r="B14" s="6" t="s">
        <v>89</v>
      </c>
      <c r="C14" s="6" t="s">
        <v>90</v>
      </c>
      <c r="D14" s="6" t="s">
        <v>91</v>
      </c>
    </row>
    <row r="15" customFormat="false" ht="69.75" hidden="false" customHeight="true" outlineLevel="0" collapsed="false">
      <c r="A15" s="5" t="s">
        <v>92</v>
      </c>
      <c r="B15" s="6" t="s">
        <v>89</v>
      </c>
      <c r="C15" s="6" t="s">
        <v>93</v>
      </c>
      <c r="D15" s="6" t="s">
        <v>94</v>
      </c>
    </row>
    <row r="16" customFormat="false" ht="69.75" hidden="false" customHeight="true" outlineLevel="0" collapsed="false">
      <c r="A16" s="5" t="s">
        <v>95</v>
      </c>
      <c r="B16" s="6" t="s">
        <v>96</v>
      </c>
      <c r="C16" s="6" t="s">
        <v>97</v>
      </c>
      <c r="D16" s="6" t="s">
        <v>98</v>
      </c>
    </row>
    <row r="19" customFormat="false" ht="15" hidden="false" customHeight="false" outlineLevel="0" collapsed="false">
      <c r="A19" s="3" t="s">
        <v>99</v>
      </c>
    </row>
    <row r="20" customFormat="false" ht="27.75" hidden="false" customHeight="true" outlineLevel="0" collapsed="false">
      <c r="A20" s="8" t="s">
        <v>100</v>
      </c>
      <c r="B20" s="8"/>
      <c r="C20" s="8"/>
      <c r="D20" s="8"/>
    </row>
    <row r="21" customFormat="false" ht="15" hidden="false" customHeight="false" outlineLevel="0" collapsed="false">
      <c r="A21" s="4" t="s">
        <v>84</v>
      </c>
      <c r="B21" s="4" t="s">
        <v>85</v>
      </c>
      <c r="C21" s="4" t="s">
        <v>86</v>
      </c>
      <c r="D21" s="4" t="s">
        <v>87</v>
      </c>
    </row>
    <row r="22" customFormat="false" ht="79.5" hidden="false" customHeight="true" outlineLevel="0" collapsed="false">
      <c r="A22" s="5" t="s">
        <v>101</v>
      </c>
      <c r="B22" s="6" t="s">
        <v>102</v>
      </c>
      <c r="C22" s="6" t="s">
        <v>103</v>
      </c>
      <c r="D22" s="6" t="s">
        <v>104</v>
      </c>
    </row>
    <row r="23" customFormat="false" ht="79.5" hidden="false" customHeight="true" outlineLevel="0" collapsed="false">
      <c r="A23" s="5" t="s">
        <v>105</v>
      </c>
      <c r="B23" s="6" t="s">
        <v>106</v>
      </c>
      <c r="C23" s="6" t="s">
        <v>107</v>
      </c>
      <c r="D23" s="6" t="s">
        <v>108</v>
      </c>
    </row>
    <row r="26" customFormat="false" ht="45" hidden="false" customHeight="true" outlineLevel="0" collapsed="false">
      <c r="A26" s="8" t="s">
        <v>109</v>
      </c>
      <c r="B26" s="8"/>
      <c r="C26" s="8"/>
      <c r="D26" s="8"/>
    </row>
  </sheetData>
  <mergeCells count="3">
    <mergeCell ref="A12:D12"/>
    <mergeCell ref="A20:D20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4" t="s">
        <v>112</v>
      </c>
      <c r="B4" s="4" t="s">
        <v>113</v>
      </c>
    </row>
    <row r="5" customFormat="false" ht="31.5" hidden="false" customHeight="true" outlineLevel="0" collapsed="false">
      <c r="A5" s="5" t="s">
        <v>114</v>
      </c>
      <c r="B5" s="6" t="s">
        <v>115</v>
      </c>
    </row>
    <row r="6" customFormat="false" ht="31.5" hidden="false" customHeight="true" outlineLevel="0" collapsed="false">
      <c r="A6" s="5" t="s">
        <v>116</v>
      </c>
      <c r="B6" s="6" t="s">
        <v>117</v>
      </c>
    </row>
    <row r="7" customFormat="false" ht="31.5" hidden="false" customHeight="true" outlineLevel="0" collapsed="false">
      <c r="A7" s="5" t="s">
        <v>118</v>
      </c>
      <c r="B7" s="6" t="s">
        <v>119</v>
      </c>
    </row>
    <row r="8" customFormat="false" ht="31.5" hidden="false" customHeight="true" outlineLevel="0" collapsed="false">
      <c r="A8" s="5" t="s">
        <v>120</v>
      </c>
      <c r="B8" s="6" t="s">
        <v>121</v>
      </c>
    </row>
    <row r="9" customFormat="false" ht="31.5" hidden="false" customHeight="true" outlineLevel="0" collapsed="false">
      <c r="A9" s="5" t="s">
        <v>122</v>
      </c>
      <c r="B9" s="6" t="s">
        <v>123</v>
      </c>
    </row>
    <row r="10" customFormat="false" ht="31.5" hidden="false" customHeight="true" outlineLevel="0" collapsed="false">
      <c r="A10" s="5" t="s">
        <v>124</v>
      </c>
      <c r="B10" s="6" t="s">
        <v>125</v>
      </c>
    </row>
    <row r="11" customFormat="false" ht="31.5" hidden="false" customHeight="true" outlineLevel="0" collapsed="false">
      <c r="A11" s="5" t="s">
        <v>126</v>
      </c>
      <c r="B11" s="6" t="s">
        <v>127</v>
      </c>
    </row>
    <row r="12" customFormat="false" ht="31.5" hidden="false" customHeight="true" outlineLevel="0" collapsed="false">
      <c r="A12" s="5" t="s">
        <v>128</v>
      </c>
      <c r="B12" s="6" t="s">
        <v>129</v>
      </c>
    </row>
    <row r="13" customFormat="false" ht="31.5" hidden="false" customHeight="true" outlineLevel="0" collapsed="false">
      <c r="A13" s="5" t="s">
        <v>130</v>
      </c>
      <c r="B13" s="6" t="s">
        <v>131</v>
      </c>
    </row>
    <row r="14" customFormat="false" ht="31.5" hidden="false" customHeight="true" outlineLevel="0" collapsed="false">
      <c r="A14" s="5" t="s">
        <v>132</v>
      </c>
      <c r="B14" s="6" t="s">
        <v>133</v>
      </c>
    </row>
    <row r="15" customFormat="false" ht="31.5" hidden="false" customHeight="true" outlineLevel="0" collapsed="false">
      <c r="A15" s="5" t="s">
        <v>134</v>
      </c>
      <c r="B15" s="6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2026-08-09T17:40:18Z</dcterms:created>
  <dc:creator>openpyxl</dc:creator>
  <dc:description/>
  <dc:language>en-US</dc:language>
  <cp:lastModifiedBy/>
  <dcterms:modified xsi:type="dcterms:W3CDTF">2026-08-09T17:40:18Z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